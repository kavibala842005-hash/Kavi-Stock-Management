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r\Documents\KAVI DIGITAL SOLUTIONS\"/>
    </mc:Choice>
  </mc:AlternateContent>
  <xr:revisionPtr revIDLastSave="0" documentId="8_{9E46C5CE-438E-4483-B426-EFFF2AB31E14}" xr6:coauthVersionLast="47" xr6:coauthVersionMax="47" xr10:uidLastSave="{00000000-0000-0000-0000-000000000000}"/>
  <bookViews>
    <workbookView xWindow="-120" yWindow="-120" windowWidth="20730" windowHeight="11040" xr2:uid="{AE8545F6-6115-465A-900A-E1B06D7DC738}"/>
  </bookViews>
  <sheets>
    <sheet name="STOCK" sheetId="1" r:id="rId1"/>
    <sheet name="BIL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F3" i="1" s="1"/>
  <c r="G3" i="1" s="1"/>
  <c r="E4" i="1"/>
  <c r="F4" i="1" s="1"/>
  <c r="G4" i="1" s="1"/>
  <c r="E5" i="1"/>
  <c r="F5" i="1" s="1"/>
  <c r="G5" i="1" s="1"/>
  <c r="E6" i="1"/>
  <c r="F6" i="1" s="1"/>
  <c r="G6" i="1" s="1"/>
  <c r="E2" i="1"/>
  <c r="F2" i="1" s="1"/>
  <c r="G2" i="1" s="1"/>
  <c r="C3" i="2"/>
  <c r="D3" i="2" s="1"/>
  <c r="C4" i="2"/>
  <c r="D4" i="2" s="1"/>
  <c r="C5" i="2"/>
  <c r="D5" i="2" s="1"/>
  <c r="C2" i="2"/>
  <c r="D2" i="2" s="1"/>
  <c r="G3" i="2"/>
  <c r="D6" i="2" l="1"/>
</calcChain>
</file>

<file path=xl/sharedStrings.xml><?xml version="1.0" encoding="utf-8"?>
<sst xmlns="http://schemas.openxmlformats.org/spreadsheetml/2006/main" count="30" uniqueCount="25">
  <si>
    <t>Product ID</t>
  </si>
  <si>
    <t>Product Name</t>
  </si>
  <si>
    <t>Opening Stock</t>
  </si>
  <si>
    <t>Price (₹)</t>
  </si>
  <si>
    <t>P001</t>
  </si>
  <si>
    <t>Rice</t>
  </si>
  <si>
    <t>P002</t>
  </si>
  <si>
    <t>Oil</t>
  </si>
  <si>
    <t>P003</t>
  </si>
  <si>
    <t>Sugar</t>
  </si>
  <si>
    <t>P004</t>
  </si>
  <si>
    <t>Biscuit</t>
  </si>
  <si>
    <t>P005</t>
  </si>
  <si>
    <t>Milk</t>
  </si>
  <si>
    <t>Quantity</t>
  </si>
  <si>
    <t>Price</t>
  </si>
  <si>
    <t>Total</t>
  </si>
  <si>
    <t>CUSTOMER_NAME</t>
  </si>
  <si>
    <t>BILL NUMBER</t>
  </si>
  <si>
    <t>BILL DATE</t>
  </si>
  <si>
    <t>KAVIBALA S</t>
  </si>
  <si>
    <t>Stock sold</t>
  </si>
  <si>
    <t>Available stock</t>
  </si>
  <si>
    <t>Stock Status</t>
  </si>
  <si>
    <t>Grand 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</si>
</sst>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3" borderId="1" xfId="0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 wrapText="1"/>
    </xf>
    <xf numFmtId="164" fontId="1" fillId="4" borderId="4" xfId="0" applyNumberFormat="1" applyFont="1" applyFill="1" applyBorder="1" applyAlignment="1">
      <alignment horizontal="center" wrapText="1"/>
    </xf>
    <xf numFmtId="164" fontId="3" fillId="4" borderId="2" xfId="0" applyNumberFormat="1" applyFont="1" applyFill="1" applyBorder="1" applyAlignment="1">
      <alignment horizontal="center" wrapText="1"/>
    </xf>
    <xf numFmtId="164" fontId="1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7E9B2-178C-4DC1-9480-6A763EA0A2B3}">
  <dimension ref="A1:G6"/>
  <sheetViews>
    <sheetView tabSelected="1" workbookViewId="0">
      <selection activeCell="E11" sqref="E11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4.140625" bestFit="1" customWidth="1"/>
    <col min="4" max="4" width="8.42578125" bestFit="1" customWidth="1"/>
    <col min="5" max="5" width="10.28515625" bestFit="1" customWidth="1"/>
    <col min="6" max="6" width="14.5703125" bestFit="1" customWidth="1"/>
    <col min="7" max="7" width="12.140625" bestFit="1" customWidth="1"/>
  </cols>
  <sheetData>
    <row r="1" spans="1: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22</v>
      </c>
      <c r="G1" s="6" t="s">
        <v>23</v>
      </c>
    </row>
    <row r="2" spans="1:7" x14ac:dyDescent="0.25">
      <c r="A2" s="2" t="s">
        <v>4</v>
      </c>
      <c r="B2" s="2" t="s">
        <v>5</v>
      </c>
      <c r="C2" s="2">
        <v>50</v>
      </c>
      <c r="D2" s="2">
        <v>60</v>
      </c>
      <c r="E2" s="2">
        <f>SUMIF(BILLING!$A$2:$A$100,B2,BILLING!$B$2:$B$100)</f>
        <v>2</v>
      </c>
      <c r="F2" s="2">
        <f>C2-E2</f>
        <v>48</v>
      </c>
      <c r="G2" s="2" t="str">
        <f>IF(F2&lt;=10,"Low Stock","Available")</f>
        <v>Available</v>
      </c>
    </row>
    <row r="3" spans="1:7" x14ac:dyDescent="0.25">
      <c r="A3" s="2" t="s">
        <v>6</v>
      </c>
      <c r="B3" s="2" t="s">
        <v>7</v>
      </c>
      <c r="C3" s="2">
        <v>30</v>
      </c>
      <c r="D3" s="2">
        <v>50</v>
      </c>
      <c r="E3" s="2">
        <f>SUMIF(BILLING!$A$2:$A$100,B3,BILLING!$B$2:$B$100)</f>
        <v>25</v>
      </c>
      <c r="F3" s="2">
        <f t="shared" ref="F3:F6" si="0">C3-E3</f>
        <v>5</v>
      </c>
      <c r="G3" s="2" t="str">
        <f t="shared" ref="G3:G6" si="1">IF(F3&lt;=10,"Low Stock","Available")</f>
        <v>Low Stock</v>
      </c>
    </row>
    <row r="4" spans="1:7" x14ac:dyDescent="0.25">
      <c r="A4" s="2" t="s">
        <v>8</v>
      </c>
      <c r="B4" s="2" t="s">
        <v>9</v>
      </c>
      <c r="C4" s="2">
        <v>40</v>
      </c>
      <c r="D4" s="2">
        <v>45</v>
      </c>
      <c r="E4" s="2">
        <f>SUMIF(BILLING!$A$2:$A$100,B4,BILLING!$B$2:$B$100)</f>
        <v>3</v>
      </c>
      <c r="F4" s="2">
        <f t="shared" si="0"/>
        <v>37</v>
      </c>
      <c r="G4" s="2" t="str">
        <f t="shared" si="1"/>
        <v>Available</v>
      </c>
    </row>
    <row r="5" spans="1:7" x14ac:dyDescent="0.25">
      <c r="A5" s="2" t="s">
        <v>10</v>
      </c>
      <c r="B5" s="2" t="s">
        <v>11</v>
      </c>
      <c r="C5" s="2">
        <v>60</v>
      </c>
      <c r="D5" s="2">
        <v>20</v>
      </c>
      <c r="E5" s="2">
        <f>SUMIF(BILLING!$A$2:$A$100,B5,BILLING!$B$2:$B$100)</f>
        <v>2</v>
      </c>
      <c r="F5" s="2">
        <f t="shared" si="0"/>
        <v>58</v>
      </c>
      <c r="G5" s="2" t="str">
        <f t="shared" si="1"/>
        <v>Available</v>
      </c>
    </row>
    <row r="6" spans="1:7" x14ac:dyDescent="0.25">
      <c r="A6" s="2" t="s">
        <v>12</v>
      </c>
      <c r="B6" s="2" t="s">
        <v>13</v>
      </c>
      <c r="C6" s="2">
        <v>25</v>
      </c>
      <c r="D6" s="2">
        <v>30</v>
      </c>
      <c r="E6" s="2">
        <f>SUMIF(BILLING!$A$2:$A$100,B6,BILLING!$B$2:$B$100)</f>
        <v>0</v>
      </c>
      <c r="F6" s="2">
        <f t="shared" si="0"/>
        <v>25</v>
      </c>
      <c r="G6" s="2" t="str">
        <f t="shared" si="1"/>
        <v>Available</v>
      </c>
    </row>
  </sheetData>
  <conditionalFormatting sqref="G1:G6">
    <cfRule type="containsText" dxfId="1" priority="1" operator="containsText" text="Available">
      <formula>NOT(ISERROR(SEARCH("Available",G1)))</formula>
    </cfRule>
    <cfRule type="containsText" dxfId="0" priority="2" operator="containsText" text="Low Stock">
      <formula>NOT(ISERROR(SEARCH("Low Stock",G1)))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86C6A-30B6-4DDD-BCA5-318CCDEC0A0F}">
  <dimension ref="A1:G6"/>
  <sheetViews>
    <sheetView workbookViewId="0">
      <selection activeCell="D7" sqref="D7"/>
    </sheetView>
  </sheetViews>
  <sheetFormatPr defaultRowHeight="15" x14ac:dyDescent="0.25"/>
  <cols>
    <col min="1" max="1" width="13.85546875" bestFit="1" customWidth="1"/>
    <col min="2" max="2" width="8.7109375" bestFit="1" customWidth="1"/>
    <col min="3" max="3" width="7" bestFit="1" customWidth="1"/>
    <col min="4" max="4" width="9.5703125" bestFit="1" customWidth="1"/>
    <col min="6" max="6" width="17.7109375" bestFit="1" customWidth="1"/>
    <col min="7" max="7" width="11" bestFit="1" customWidth="1"/>
  </cols>
  <sheetData>
    <row r="1" spans="1:7" x14ac:dyDescent="0.25">
      <c r="A1" s="1" t="s">
        <v>1</v>
      </c>
      <c r="B1" s="1" t="s">
        <v>14</v>
      </c>
      <c r="C1" s="1" t="s">
        <v>15</v>
      </c>
      <c r="D1" s="1" t="s">
        <v>16</v>
      </c>
      <c r="F1" s="1" t="s">
        <v>17</v>
      </c>
      <c r="G1" s="1" t="s">
        <v>20</v>
      </c>
    </row>
    <row r="2" spans="1:7" x14ac:dyDescent="0.25">
      <c r="A2" s="2" t="s">
        <v>5</v>
      </c>
      <c r="B2" s="2">
        <v>2</v>
      </c>
      <c r="C2" s="3">
        <f>VLOOKUP(A2,STOCK!$B$2:$D$6,3,FALSE)</f>
        <v>60</v>
      </c>
      <c r="D2" s="3">
        <f>B2*C2</f>
        <v>120</v>
      </c>
      <c r="F2" s="4" t="s">
        <v>18</v>
      </c>
      <c r="G2" s="4">
        <v>1001</v>
      </c>
    </row>
    <row r="3" spans="1:7" x14ac:dyDescent="0.25">
      <c r="A3" s="2" t="s">
        <v>7</v>
      </c>
      <c r="B3" s="2">
        <v>25</v>
      </c>
      <c r="C3" s="3">
        <f>VLOOKUP(A3,STOCK!$B$2:$D$6,3,FALSE)</f>
        <v>50</v>
      </c>
      <c r="D3" s="3">
        <f t="shared" ref="D3:D4" si="0">B3*C3</f>
        <v>1250</v>
      </c>
      <c r="F3" s="4" t="s">
        <v>19</v>
      </c>
      <c r="G3" s="5">
        <f ca="1">TODAY()</f>
        <v>46310</v>
      </c>
    </row>
    <row r="4" spans="1:7" x14ac:dyDescent="0.25">
      <c r="A4" s="2" t="s">
        <v>9</v>
      </c>
      <c r="B4" s="2">
        <v>3</v>
      </c>
      <c r="C4" s="3">
        <f>VLOOKUP(A4,STOCK!$B$2:$D$6,3,FALSE)</f>
        <v>45</v>
      </c>
      <c r="D4" s="3">
        <f t="shared" si="0"/>
        <v>135</v>
      </c>
    </row>
    <row r="5" spans="1:7" x14ac:dyDescent="0.25">
      <c r="A5" s="2" t="s">
        <v>11</v>
      </c>
      <c r="B5" s="2">
        <v>2</v>
      </c>
      <c r="C5" s="3">
        <f>VLOOKUP(A5,STOCK!$B$2:$D$6,3,FALSE)</f>
        <v>20</v>
      </c>
      <c r="D5" s="3">
        <f>B5*C5</f>
        <v>40</v>
      </c>
    </row>
    <row r="6" spans="1:7" ht="30" customHeight="1" x14ac:dyDescent="0.35">
      <c r="A6" s="9" t="s">
        <v>24</v>
      </c>
      <c r="B6" s="7"/>
      <c r="C6" s="8"/>
      <c r="D6" s="10">
        <f>SUM(D2:D5)</f>
        <v>1545</v>
      </c>
    </row>
  </sheetData>
  <mergeCells count="1">
    <mergeCell ref="A6:C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BF644B98343FA47BA84AD0FD7E20570" ma:contentTypeVersion="4" ma:contentTypeDescription="Create a new document." ma:contentTypeScope="" ma:versionID="5b8656e83e5078bfe48c22c6f1684e03">
  <xsd:schema xmlns:xsd="http://www.w3.org/2001/XMLSchema" xmlns:xs="http://www.w3.org/2001/XMLSchema" xmlns:p="http://schemas.microsoft.com/office/2006/metadata/properties" xmlns:ns3="c1c96588-e0a5-47e1-b0a5-05bf40062dd1" targetNamespace="http://schemas.microsoft.com/office/2006/metadata/properties" ma:root="true" ma:fieldsID="6742b20410aa247db5aa1d93f98ab5a6" ns3:_="">
    <xsd:import namespace="c1c96588-e0a5-47e1-b0a5-05bf40062d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c96588-e0a5-47e1-b0a5-05bf40062d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A5680B3-A33B-4F5B-8CD9-D4640A8CDC9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C788AFB-B7FF-4CFC-A46D-9D7A5DC5A7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c96588-e0a5-47e1-b0a5-05bf40062d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E746E4-0941-4A77-9C00-A094A552F5FC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c1c96588-e0a5-47e1-b0a5-05bf40062dd1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</vt:lpstr>
      <vt:lpstr>BILLING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S0385939</dc:creator>
  <cp:lastModifiedBy>S0385939</cp:lastModifiedBy>
  <dcterms:created xsi:type="dcterms:W3CDTF">2026-10-09T07:27:03Z</dcterms:created>
  <dcterms:modified xsi:type="dcterms:W3CDTF">2026-10-15T05:10:29Z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0x010100CBF644B98343FA47BA84AD0FD7E20570</vt:lpwstr>
  </property>
</Properties>
</file>