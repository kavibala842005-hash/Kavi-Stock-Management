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GITHUB PROJECTS\KAVI DIGITAL SOLUTIONS\"/>
    </mc:Choice>
  </mc:AlternateContent>
  <xr:revisionPtr revIDLastSave="0" documentId="13_ncr:1_{D91F9330-25AB-4767-AA0E-5CBD493D5314}" xr6:coauthVersionLast="47" xr6:coauthVersionMax="47" xr10:uidLastSave="{00000000-0000-0000-0000-000000000000}"/>
  <bookViews>
    <workbookView xWindow="-120" yWindow="-120" windowWidth="20730" windowHeight="11040" activeTab="3" xr2:uid="{AE8545F6-6115-465A-900A-E1B06D7DC738}"/>
  </bookViews>
  <sheets>
    <sheet name="STOCK" sheetId="1" r:id="rId1"/>
    <sheet name="BILLING" sheetId="2" r:id="rId2"/>
    <sheet name="Dashboard" sheetId="3" r:id="rId3"/>
    <sheet name="BILL HISTO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3" l="1"/>
  <c r="A11" i="3"/>
  <c r="B11" i="3"/>
  <c r="A12" i="3"/>
  <c r="B12" i="3"/>
  <c r="A13" i="3"/>
  <c r="B9" i="3"/>
  <c r="A9" i="3"/>
  <c r="E5" i="3"/>
  <c r="C5" i="3"/>
  <c r="A5" i="3"/>
  <c r="E3" i="1"/>
  <c r="F3" i="1" s="1"/>
  <c r="E4" i="1"/>
  <c r="F4" i="1" s="1"/>
  <c r="G4" i="1" s="1"/>
  <c r="E5" i="1"/>
  <c r="F5" i="1" s="1"/>
  <c r="G5" i="1" s="1"/>
  <c r="E6" i="1"/>
  <c r="F6" i="1" s="1"/>
  <c r="E2" i="1"/>
  <c r="F2" i="1" s="1"/>
  <c r="G2" i="1" s="1"/>
  <c r="C3" i="2"/>
  <c r="D3" i="2" s="1"/>
  <c r="C4" i="2"/>
  <c r="D4" i="2" s="1"/>
  <c r="C5" i="2"/>
  <c r="D5" i="2" s="1"/>
  <c r="C2" i="2"/>
  <c r="D2" i="2" s="1"/>
  <c r="G3" i="2"/>
  <c r="G3" i="1" l="1"/>
  <c r="B10" i="3"/>
  <c r="G6" i="1"/>
  <c r="B13" i="3"/>
  <c r="D6" i="2"/>
  <c r="G5" i="3" s="1"/>
</calcChain>
</file>

<file path=xl/sharedStrings.xml><?xml version="1.0" encoding="utf-8"?>
<sst xmlns="http://schemas.openxmlformats.org/spreadsheetml/2006/main" count="44" uniqueCount="37">
  <si>
    <t>Product ID</t>
  </si>
  <si>
    <t>Product Name</t>
  </si>
  <si>
    <t>Opening Stock</t>
  </si>
  <si>
    <t>Price (₹)</t>
  </si>
  <si>
    <t>P001</t>
  </si>
  <si>
    <t>Rice</t>
  </si>
  <si>
    <t>P002</t>
  </si>
  <si>
    <t>Oil</t>
  </si>
  <si>
    <t>P003</t>
  </si>
  <si>
    <t>Sugar</t>
  </si>
  <si>
    <t>P004</t>
  </si>
  <si>
    <t>Biscuit</t>
  </si>
  <si>
    <t>P005</t>
  </si>
  <si>
    <t>Milk</t>
  </si>
  <si>
    <t>Quantity</t>
  </si>
  <si>
    <t>Price</t>
  </si>
  <si>
    <t>Total</t>
  </si>
  <si>
    <t>CUSTOMER_NAME</t>
  </si>
  <si>
    <t>BILL NUMBER</t>
  </si>
  <si>
    <t>BILL DATE</t>
  </si>
  <si>
    <t>KAVIBALA S</t>
  </si>
  <si>
    <t>Stock sold</t>
  </si>
  <si>
    <t>Available stock</t>
  </si>
  <si>
    <t>Stock Status</t>
  </si>
  <si>
    <t>Grand   Total</t>
  </si>
  <si>
    <t>KAVI_DIGITAL_SOLUTIONS</t>
  </si>
  <si>
    <t>INVENTORY &amp; BILLING DASHBOARD</t>
  </si>
  <si>
    <t>TOTAL PRODUCTS</t>
  </si>
  <si>
    <t>TOTAL OPENING STOCKS</t>
  </si>
  <si>
    <t>LOW STOCK ITEM</t>
  </si>
  <si>
    <t xml:space="preserve">BILLING TOTAL </t>
  </si>
  <si>
    <t>PRODUCT 
NAME</t>
  </si>
  <si>
    <t>AVAILABLE
 STOCK</t>
  </si>
  <si>
    <t>PREVIOUS BILL NO.</t>
  </si>
  <si>
    <t>DATE</t>
  </si>
  <si>
    <t>CUSTOMER NAME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</si>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</sst>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" fillId="8" borderId="1" xfId="0" applyFont="1" applyFill="1" applyBorder="1"/>
    <xf numFmtId="0" fontId="6" fillId="0" borderId="1" xfId="0" applyFont="1" applyBorder="1"/>
    <xf numFmtId="0" fontId="5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4" xfId="0" applyFont="1" applyFill="1" applyBorder="1"/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6" borderId="2" xfId="0" applyFont="1" applyFill="1" applyBorder="1"/>
    <xf numFmtId="0" fontId="1" fillId="6" borderId="4" xfId="0" applyFont="1" applyFill="1" applyBorder="1"/>
    <xf numFmtId="0" fontId="5" fillId="7" borderId="2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1" fillId="7" borderId="2" xfId="0" applyFont="1" applyFill="1" applyBorder="1"/>
    <xf numFmtId="0" fontId="1" fillId="7" borderId="4" xfId="0" applyFont="1" applyFill="1" applyBorder="1"/>
    <xf numFmtId="164" fontId="4" fillId="4" borderId="2" xfId="0" applyNumberFormat="1" applyFont="1" applyFill="1" applyBorder="1" applyAlignment="1">
      <alignment horizontal="center" wrapText="1"/>
    </xf>
    <xf numFmtId="164" fontId="1" fillId="4" borderId="3" xfId="0" applyNumberFormat="1" applyFont="1" applyFill="1" applyBorder="1" applyAlignment="1">
      <alignment horizontal="center" wrapText="1"/>
    </xf>
    <xf numFmtId="164" fontId="1" fillId="4" borderId="4" xfId="0" applyNumberFormat="1" applyFont="1" applyFill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/>
    <xf numFmtId="0" fontId="3" fillId="9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AVAILABLE STOCK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977688623370639E-2"/>
          <c:y val="0.16125833012887225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AVAILABLE
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Dashboard!$A$9:$A$13</c:f>
              <c:strCache>
                <c:ptCount val="5"/>
                <c:pt idx="0">
                  <c:v>Rice</c:v>
                </c:pt>
                <c:pt idx="1">
                  <c:v>Oil</c:v>
                </c:pt>
                <c:pt idx="2">
                  <c:v>Sugar</c:v>
                </c:pt>
                <c:pt idx="3">
                  <c:v>Biscuit</c:v>
                </c:pt>
                <c:pt idx="4">
                  <c:v>Milk</c:v>
                </c:pt>
              </c:strCache>
            </c:strRef>
          </c:cat>
          <c:val>
            <c:numRef>
              <c:f>Dashboard!$B$9:$B$13</c:f>
              <c:numCache>
                <c:formatCode>General</c:formatCode>
                <c:ptCount val="5"/>
                <c:pt idx="0">
                  <c:v>45</c:v>
                </c:pt>
                <c:pt idx="1">
                  <c:v>5</c:v>
                </c:pt>
                <c:pt idx="2">
                  <c:v>37</c:v>
                </c:pt>
                <c:pt idx="3">
                  <c:v>58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8-442D-838E-C9B3F193C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777711"/>
        <c:axId val="1294242639"/>
      </c:barChart>
      <c:catAx>
        <c:axId val="95177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42639"/>
        <c:crosses val="autoZero"/>
        <c:auto val="1"/>
        <c:lblAlgn val="ctr"/>
        <c:lblOffset val="100"/>
        <c:noMultiLvlLbl val="0"/>
      </c:catAx>
      <c:valAx>
        <c:axId val="12942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7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114734</xdr:colOff>
      <xdr:row>5</xdr:row>
      <xdr:rowOff>28575</xdr:rowOff>
    </xdr:from>
    <xdr:to>
      <xdr:col>7</xdr:col>
      <xdr:colOff>1</xdr:colOff>
      <xdr:row>13</xdr:row>
      <xdr:rowOff>43296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ED698-815D-2510-971D-57C34B1DB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E9B2-178C-4DC1-9480-6A763EA0A2B3}">
  <dimension ref="A1:G6"/>
  <sheetViews>
    <sheetView workbookViewId="0">
      <selection activeCell="H11" sqref="H11"/>
    </sheetView>
  </sheetViews>
  <sheetFormatPr defaultRowHeight="15"/>
  <cols>
    <col min="1" max="1" width="10.42578125" bestFit="1" customWidth="1"/>
    <col min="2" max="2" width="13.85546875" bestFit="1" customWidth="1"/>
    <col min="3" max="3" width="14.140625" bestFit="1" customWidth="1"/>
    <col min="4" max="4" width="8.42578125" bestFit="1" customWidth="1"/>
    <col min="5" max="5" width="10.28515625" bestFit="1" customWidth="1"/>
    <col min="6" max="6" width="14.5703125" bestFit="1" customWidth="1"/>
    <col min="7" max="7" width="12.140625" bestFit="1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21</v>
      </c>
      <c r="F1" s="7" t="s">
        <v>22</v>
      </c>
      <c r="G1" s="7" t="s">
        <v>23</v>
      </c>
    </row>
    <row r="2" spans="1:7">
      <c r="A2" s="2" t="s">
        <v>4</v>
      </c>
      <c r="B2" s="2" t="s">
        <v>5</v>
      </c>
      <c r="C2" s="2">
        <v>50</v>
      </c>
      <c r="D2" s="2">
        <v>60</v>
      </c>
      <c r="E2" s="2">
        <f>SUMIF(BILLING!$A$2:$A$100,B2,BILLING!$B$2:$B$100)</f>
        <v>5</v>
      </c>
      <c r="F2" s="2">
        <f>C2-E2</f>
        <v>45</v>
      </c>
      <c r="G2" s="2" t="str">
        <f>IF(F2&lt;=10,"Low Stock","Available")</f>
        <v>Available</v>
      </c>
    </row>
    <row r="3" spans="1:7">
      <c r="A3" s="2" t="s">
        <v>6</v>
      </c>
      <c r="B3" s="2" t="s">
        <v>7</v>
      </c>
      <c r="C3" s="2">
        <v>30</v>
      </c>
      <c r="D3" s="2">
        <v>50</v>
      </c>
      <c r="E3" s="2">
        <f>SUMIF(BILLING!$A$2:$A$100,B3,BILLING!$B$2:$B$100)</f>
        <v>25</v>
      </c>
      <c r="F3" s="2">
        <f t="shared" ref="F3:F6" si="0">C3-E3</f>
        <v>5</v>
      </c>
      <c r="G3" s="2" t="str">
        <f t="shared" ref="G3:G6" si="1">IF(F3&lt;=10,"Low Stock","Available")</f>
        <v>Low Stock</v>
      </c>
    </row>
    <row r="4" spans="1:7">
      <c r="A4" s="2" t="s">
        <v>8</v>
      </c>
      <c r="B4" s="2" t="s">
        <v>9</v>
      </c>
      <c r="C4" s="2">
        <v>40</v>
      </c>
      <c r="D4" s="2">
        <v>45</v>
      </c>
      <c r="E4" s="2">
        <f>SUMIF(BILLING!$A$2:$A$100,B4,BILLING!$B$2:$B$100)</f>
        <v>3</v>
      </c>
      <c r="F4" s="2">
        <f t="shared" si="0"/>
        <v>37</v>
      </c>
      <c r="G4" s="2" t="str">
        <f t="shared" si="1"/>
        <v>Available</v>
      </c>
    </row>
    <row r="5" spans="1:7">
      <c r="A5" s="2" t="s">
        <v>10</v>
      </c>
      <c r="B5" s="2" t="s">
        <v>11</v>
      </c>
      <c r="C5" s="2">
        <v>60</v>
      </c>
      <c r="D5" s="2">
        <v>20</v>
      </c>
      <c r="E5" s="2">
        <f>SUMIF(BILLING!$A$2:$A$100,B5,BILLING!$B$2:$B$100)</f>
        <v>2</v>
      </c>
      <c r="F5" s="2">
        <f t="shared" si="0"/>
        <v>58</v>
      </c>
      <c r="G5" s="2" t="str">
        <f t="shared" si="1"/>
        <v>Available</v>
      </c>
    </row>
    <row r="6" spans="1:7">
      <c r="A6" s="2" t="s">
        <v>12</v>
      </c>
      <c r="B6" s="2" t="s">
        <v>13</v>
      </c>
      <c r="C6" s="2">
        <v>25</v>
      </c>
      <c r="D6" s="2">
        <v>30</v>
      </c>
      <c r="E6" s="2">
        <f>SUMIF(BILLING!$A$2:$A$100,B6,BILLING!$B$2:$B$100)</f>
        <v>0</v>
      </c>
      <c r="F6" s="2">
        <f t="shared" si="0"/>
        <v>25</v>
      </c>
      <c r="G6" s="2" t="str">
        <f t="shared" si="1"/>
        <v>Available</v>
      </c>
    </row>
  </sheetData>
  <conditionalFormatting sqref="G1:G6">
    <cfRule type="containsText" dxfId="1" priority="1" operator="containsText" text="Available">
      <formula>NOT(ISERROR(SEARCH("Available",G1)))</formula>
    </cfRule>
    <cfRule type="containsText" dxfId="0" priority="2" operator="containsText" text="Low Stock">
      <formula>NOT(ISERROR(SEARCH("Low Stock",G1)))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6C6A-30B6-4DDD-BCA5-318CCDEC0A0F}">
  <dimension ref="A1:G6"/>
  <sheetViews>
    <sheetView topLeftCell="E1" workbookViewId="0">
      <selection activeCell="G6" sqref="G6"/>
    </sheetView>
  </sheetViews>
  <sheetFormatPr defaultRowHeight="15"/>
  <cols>
    <col min="1" max="1" width="13.85546875" bestFit="1" customWidth="1"/>
    <col min="2" max="2" width="8.7109375" bestFit="1" customWidth="1"/>
    <col min="3" max="3" width="7" bestFit="1" customWidth="1"/>
    <col min="4" max="4" width="9.5703125" bestFit="1" customWidth="1"/>
    <col min="6" max="6" width="17.7109375" bestFit="1" customWidth="1"/>
    <col min="7" max="7" width="11" bestFit="1" customWidth="1"/>
  </cols>
  <sheetData>
    <row r="1" spans="1:7">
      <c r="A1" s="1" t="s">
        <v>1</v>
      </c>
      <c r="B1" s="1" t="s">
        <v>14</v>
      </c>
      <c r="C1" s="1" t="s">
        <v>15</v>
      </c>
      <c r="D1" s="1" t="s">
        <v>16</v>
      </c>
      <c r="F1" s="1" t="s">
        <v>17</v>
      </c>
      <c r="G1" s="1" t="s">
        <v>20</v>
      </c>
    </row>
    <row r="2" spans="1:7">
      <c r="A2" s="2" t="s">
        <v>5</v>
      </c>
      <c r="B2" s="2">
        <v>5</v>
      </c>
      <c r="C2" s="3">
        <f>VLOOKUP(A2,STOCK!$B$2:$D$6,3,FALSE)</f>
        <v>60</v>
      </c>
      <c r="D2" s="3">
        <f>B2*C2</f>
        <v>300</v>
      </c>
      <c r="F2" s="4" t="s">
        <v>18</v>
      </c>
      <c r="G2" s="4">
        <v>1002</v>
      </c>
    </row>
    <row r="3" spans="1:7">
      <c r="A3" s="2" t="s">
        <v>7</v>
      </c>
      <c r="B3" s="2">
        <v>25</v>
      </c>
      <c r="C3" s="3">
        <f>VLOOKUP(A3,STOCK!$B$2:$D$6,3,FALSE)</f>
        <v>50</v>
      </c>
      <c r="D3" s="3">
        <f t="shared" ref="D3:D4" si="0">B3*C3</f>
        <v>1250</v>
      </c>
      <c r="F3" s="4" t="s">
        <v>19</v>
      </c>
      <c r="G3" s="5">
        <f ca="1">TODAY()</f>
        <v>46311</v>
      </c>
    </row>
    <row r="4" spans="1:7">
      <c r="A4" s="2" t="s">
        <v>9</v>
      </c>
      <c r="B4" s="2">
        <v>3</v>
      </c>
      <c r="C4" s="3">
        <f>VLOOKUP(A4,STOCK!$B$2:$D$6,3,FALSE)</f>
        <v>45</v>
      </c>
      <c r="D4" s="3">
        <f t="shared" si="0"/>
        <v>135</v>
      </c>
      <c r="F4" s="4" t="s">
        <v>33</v>
      </c>
      <c r="G4" s="4">
        <v>1</v>
      </c>
    </row>
    <row r="5" spans="1:7">
      <c r="A5" s="2" t="s">
        <v>11</v>
      </c>
      <c r="B5" s="2">
        <v>2</v>
      </c>
      <c r="C5" s="3">
        <f>VLOOKUP(A5,STOCK!$B$2:$D$6,3,FALSE)</f>
        <v>20</v>
      </c>
      <c r="D5" s="3">
        <f>B5*C5</f>
        <v>40</v>
      </c>
    </row>
    <row r="6" spans="1:7" ht="30" customHeight="1">
      <c r="A6" s="25" t="s">
        <v>24</v>
      </c>
      <c r="B6" s="26"/>
      <c r="C6" s="27"/>
      <c r="D6" s="8">
        <f>SUM(D2:D5)</f>
        <v>1725</v>
      </c>
    </row>
  </sheetData>
  <mergeCells count="1"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C015-499C-4361-BBB5-A7AD670E099A}">
  <dimension ref="A1:G13"/>
  <sheetViews>
    <sheetView zoomScaleNormal="100" workbookViewId="0">
      <selection sqref="A1:G1"/>
    </sheetView>
  </sheetViews>
  <sheetFormatPr defaultRowHeight="15"/>
  <cols>
    <col min="1" max="1" width="13.140625" customWidth="1"/>
    <col min="2" max="2" width="15" customWidth="1"/>
    <col min="4" max="4" width="14.5703125" customWidth="1"/>
    <col min="7" max="7" width="33.42578125" customWidth="1"/>
  </cols>
  <sheetData>
    <row r="1" spans="1:7">
      <c r="A1" s="28" t="s">
        <v>25</v>
      </c>
      <c r="B1" s="28"/>
      <c r="C1" s="28"/>
      <c r="D1" s="28"/>
      <c r="E1" s="28"/>
      <c r="F1" s="28"/>
      <c r="G1" s="28"/>
    </row>
    <row r="2" spans="1:7">
      <c r="A2" s="29" t="s">
        <v>26</v>
      </c>
      <c r="B2" s="29"/>
      <c r="C2" s="29"/>
      <c r="D2" s="29"/>
      <c r="E2" s="29"/>
      <c r="F2" s="29"/>
      <c r="G2" s="29"/>
    </row>
    <row r="4" spans="1:7">
      <c r="A4" s="15" t="s">
        <v>27</v>
      </c>
      <c r="B4" s="16"/>
      <c r="C4" s="19" t="s">
        <v>28</v>
      </c>
      <c r="D4" s="20"/>
      <c r="E4" s="23" t="s">
        <v>29</v>
      </c>
      <c r="F4" s="24"/>
      <c r="G4" s="9" t="s">
        <v>30</v>
      </c>
    </row>
    <row r="5" spans="1:7" ht="26.25">
      <c r="A5" s="13">
        <f>COUNTA(STOCK!B2:B6)</f>
        <v>5</v>
      </c>
      <c r="B5" s="14"/>
      <c r="C5" s="17">
        <f>SUM(STOCK!C2:C6)</f>
        <v>205</v>
      </c>
      <c r="D5" s="18"/>
      <c r="E5" s="21">
        <f>COUNTIF(STOCK!G2:G6,"Low Stock")</f>
        <v>1</v>
      </c>
      <c r="F5" s="22"/>
      <c r="G5" s="11">
        <f>BILLING!D6</f>
        <v>1725</v>
      </c>
    </row>
    <row r="8" spans="1:7" ht="30">
      <c r="A8" s="12" t="s">
        <v>31</v>
      </c>
      <c r="B8" s="12" t="s">
        <v>32</v>
      </c>
    </row>
    <row r="9" spans="1:7">
      <c r="A9" s="10" t="str">
        <f>STOCK!B2</f>
        <v>Rice</v>
      </c>
      <c r="B9" s="6">
        <f>STOCK!F2</f>
        <v>45</v>
      </c>
    </row>
    <row r="10" spans="1:7">
      <c r="A10" s="10" t="str">
        <f>STOCK!B3</f>
        <v>Oil</v>
      </c>
      <c r="B10" s="6">
        <f>STOCK!F3</f>
        <v>5</v>
      </c>
    </row>
    <row r="11" spans="1:7">
      <c r="A11" s="10" t="str">
        <f>STOCK!B4</f>
        <v>Sugar</v>
      </c>
      <c r="B11" s="6">
        <f>STOCK!F4</f>
        <v>37</v>
      </c>
    </row>
    <row r="12" spans="1:7">
      <c r="A12" s="10" t="str">
        <f>STOCK!B5</f>
        <v>Biscuit</v>
      </c>
      <c r="B12" s="6">
        <f>STOCK!F5</f>
        <v>58</v>
      </c>
    </row>
    <row r="13" spans="1:7">
      <c r="A13" s="10" t="str">
        <f>STOCK!B6</f>
        <v>Milk</v>
      </c>
      <c r="B13" s="6">
        <f>STOCK!F6</f>
        <v>25</v>
      </c>
    </row>
  </sheetData>
  <mergeCells count="8">
    <mergeCell ref="A1:G1"/>
    <mergeCell ref="A2:G2"/>
    <mergeCell ref="A5:B5"/>
    <mergeCell ref="A4:B4"/>
    <mergeCell ref="C5:D5"/>
    <mergeCell ref="C4:D4"/>
    <mergeCell ref="E5:F5"/>
    <mergeCell ref="E4:F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15B6-7887-44AE-8FBB-C8711E5B860C}">
  <dimension ref="A1:D2"/>
  <sheetViews>
    <sheetView tabSelected="1" workbookViewId="0">
      <selection activeCell="D2" sqref="D2"/>
    </sheetView>
  </sheetViews>
  <sheetFormatPr defaultRowHeight="15"/>
  <cols>
    <col min="1" max="1" width="15.42578125" customWidth="1"/>
    <col min="2" max="2" width="10.42578125" bestFit="1" customWidth="1"/>
    <col min="3" max="3" width="17.28515625" customWidth="1"/>
    <col min="4" max="4" width="14.140625" customWidth="1"/>
  </cols>
  <sheetData>
    <row r="1" spans="1:4">
      <c r="A1" s="31" t="s">
        <v>18</v>
      </c>
      <c r="B1" s="31" t="s">
        <v>34</v>
      </c>
      <c r="C1" s="31" t="s">
        <v>35</v>
      </c>
      <c r="D1" s="31" t="s">
        <v>36</v>
      </c>
    </row>
    <row r="2" spans="1:4">
      <c r="A2">
        <v>1001</v>
      </c>
      <c r="B2" s="30">
        <v>46311</v>
      </c>
      <c r="C2" t="s">
        <v>20</v>
      </c>
      <c r="D2">
        <v>1725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644B98343FA47BA84AD0FD7E20570" ma:contentTypeVersion="4" ma:contentTypeDescription="Create a new document." ma:contentTypeScope="" ma:versionID="5b8656e83e5078bfe48c22c6f1684e03">
  <xsd:schema xmlns:xsd="http://www.w3.org/2001/XMLSchema" xmlns:xs="http://www.w3.org/2001/XMLSchema" xmlns:p="http://schemas.microsoft.com/office/2006/metadata/properties" xmlns:ns3="c1c96588-e0a5-47e1-b0a5-05bf40062dd1" targetNamespace="http://schemas.microsoft.com/office/2006/metadata/properties" ma:root="true" ma:fieldsID="6742b20410aa247db5aa1d93f98ab5a6" ns3:_="">
    <xsd:import namespace="c1c96588-e0a5-47e1-b0a5-05bf40062d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96588-e0a5-47e1-b0a5-05bf40062d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id="ms-officescript%3A%2F%2Fonedrive_business_itemlink%2F01VDG6DXESIHUHKSJG3NBYWRPBGIIWDHKI:ms-officescript%3A%2F%2Fonedrive_business_sharinglink%2Fu!aHR0cHM6Ly9lbGNvdGVkdS1teS5zaGFyZXBvaW50LmNvbS86dTovZy9wZXJzb25hbC9zMDM4NTkzOV9lZHVfZWxjb3RfaW4vSVFDU1FlaDFTU2JiUTR0RjRUSVJZWjFJQVFGTkVvZ0FaT1pMYmduaGpPdWtiUFE"/>
</scriptIds>
</file>

<file path=customXml/itemProps1.xml><?xml version="1.0" encoding="utf-8"?>
<ds:datastoreItem xmlns:ds="http://schemas.openxmlformats.org/officeDocument/2006/customXml" ds:itemID="{3A5680B3-A33B-4F5B-8CD9-D4640A8CDC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E746E4-0941-4A77-9C00-A094A552F5FC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1c96588-e0a5-47e1-b0a5-05bf40062dd1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C788AFB-B7FF-4CFC-A46D-9D7A5DC5A7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96588-e0a5-47e1-b0a5-05bf4006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626FC7D-512E-47E2-8D36-0526140956A0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</vt:lpstr>
      <vt:lpstr>BILLING</vt:lpstr>
      <vt:lpstr>Dashboard</vt:lpstr>
      <vt:lpstr>BILL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S0385939</dc:creator>
  <cp:lastModifiedBy>S0385939</cp:lastModifiedBy>
  <dcterms:created xsi:type="dcterms:W3CDTF">2026-10-09T07:27:03Z</dcterms:created>
  <dcterms:modified xsi:type="dcterms:W3CDTF">2026-10-16T07:35:57Z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0x010100CBF644B98343FA47BA84AD0FD7E20570</vt:lpwstr>
  </property>
</Properties>
</file>